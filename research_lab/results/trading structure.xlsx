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s\Downloads\"/>
    </mc:Choice>
  </mc:AlternateContent>
  <xr:revisionPtr revIDLastSave="0" documentId="8_{789DBCE0-AE06-40A6-8946-507F10267AD2}" xr6:coauthVersionLast="47" xr6:coauthVersionMax="47" xr10:uidLastSave="{00000000-0000-0000-0000-000000000000}"/>
  <bookViews>
    <workbookView xWindow="-103" yWindow="-103" windowWidth="33120" windowHeight="18000" xr2:uid="{15B2A4D4-7488-46E0-9251-83EB499236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N11" i="1" s="1"/>
  <c r="N13" i="1" s="1"/>
  <c r="M12" i="1"/>
  <c r="M13" i="1" s="1"/>
  <c r="R15" i="1"/>
  <c r="M15" i="1" l="1"/>
</calcChain>
</file>

<file path=xl/sharedStrings.xml><?xml version="1.0" encoding="utf-8"?>
<sst xmlns="http://schemas.openxmlformats.org/spreadsheetml/2006/main" count="101" uniqueCount="58">
  <si>
    <t>POP</t>
  </si>
  <si>
    <t>RR</t>
  </si>
  <si>
    <t>EV</t>
  </si>
  <si>
    <t>Long Iron condor</t>
  </si>
  <si>
    <t>IV</t>
  </si>
  <si>
    <t>indicators</t>
  </si>
  <si>
    <t>price action+volume</t>
  </si>
  <si>
    <t>VIX Level</t>
  </si>
  <si>
    <t>Market Sentiment</t>
  </si>
  <si>
    <t>Characterization</t>
  </si>
  <si>
    <t>Below 12</t>
  </si>
  <si>
    <t>Complacency</t>
  </si>
  <si>
    <t>Market is very calm; options are cheap. Warning: Risk of a "volatility explosion."</t>
  </si>
  <si>
    <t>12 – 18</t>
  </si>
  <si>
    <t>Normal/Ideal</t>
  </si>
  <si>
    <t>Standard trading environment. Most technical patterns work reliably here.</t>
  </si>
  <si>
    <t>18 – 25</t>
  </si>
  <si>
    <t>High Fear</t>
  </si>
  <si>
    <r>
      <t xml:space="preserve">Typical during events (e.g., </t>
    </r>
    <r>
      <rPr>
        <b/>
        <sz val="11"/>
        <color rgb="FF1F1F1F"/>
        <rFont val="Arial"/>
        <family val="2"/>
      </rPr>
      <t>Budget 2026</t>
    </r>
    <r>
      <rPr>
        <sz val="11"/>
        <color rgb="FF1F1F1F"/>
        <rFont val="Arial"/>
        <family val="2"/>
      </rPr>
      <t>). High premiums, wild swings.</t>
    </r>
  </si>
  <si>
    <t>Above 25</t>
  </si>
  <si>
    <t>Panic/Crisis</t>
  </si>
  <si>
    <t>Extreme fear. Stop-losses are frequently hunted; high risk for intraday traders.</t>
  </si>
  <si>
    <t>PCR/Max Pain</t>
  </si>
  <si>
    <t>Inside the prev day range</t>
  </si>
  <si>
    <t>Straddle</t>
  </si>
  <si>
    <t>rangebound</t>
  </si>
  <si>
    <t>how to exit?</t>
  </si>
  <si>
    <t>% probability</t>
  </si>
  <si>
    <t>x% (y days analyzed)</t>
  </si>
  <si>
    <t>1st order move</t>
  </si>
  <si>
    <t>completely rangebound</t>
  </si>
  <si>
    <t>2nd order move</t>
  </si>
  <si>
    <t>min, max, median, avg</t>
  </si>
  <si>
    <t>touched prev day high before touching prev day low</t>
  </si>
  <si>
    <t>touched prev day low  before touching prev day low</t>
  </si>
  <si>
    <t>touches prev day low without going at least 10% (of prev day range) over previous day high</t>
  </si>
  <si>
    <t>goes at least 10% (of prev day range) over previous day high once</t>
  </si>
  <si>
    <t>all other</t>
  </si>
  <si>
    <t>Time to hit second order move</t>
  </si>
  <si>
    <t>touches prev day high without going at least 10% (of prev day range) lower previous day low</t>
  </si>
  <si>
    <t>goes at least 10% (of prev day range) below previous day low once</t>
  </si>
  <si>
    <t>all % should add up to 100: avg % range of day compared to previous day range; % gap from prev day top; % gap from prev day low</t>
  </si>
  <si>
    <t>Market Open (first 5 min candle)</t>
  </si>
  <si>
    <t>Open : Above or below or inside
Close: Inside previous day range</t>
  </si>
  <si>
    <t xml:space="preserve">Above |Inside - x% (y days analyzed)
Inside | Inside - x% (y days analyzed)
Below | Inside - x% (y days analyzed)
</t>
  </si>
  <si>
    <t>Open : Above or below or inside
Close: Top of prev day high</t>
  </si>
  <si>
    <t xml:space="preserve">Above |Above - x% (y days analyzed)
Inside | Above - x% (y days analyzed)
Below | Above - x% (y days analyzed)
</t>
  </si>
  <si>
    <t>touched prev day high within 10 AM</t>
  </si>
  <si>
    <t>did not touched prev day high within 10 AM</t>
  </si>
  <si>
    <t>Time to hit first order move (after 9.15 opening candle)</t>
  </si>
  <si>
    <t>went below prev day high to touch prev day range mid</t>
  </si>
  <si>
    <t>went below prev day high to touch prev day range low</t>
  </si>
  <si>
    <t>went below prev day high but did not touch prev day range mid</t>
  </si>
  <si>
    <t>3rd order move</t>
  </si>
  <si>
    <t>went above at least 10% (of prev day range) over previous day high</t>
  </si>
  <si>
    <t>did not go above at least 10% (of prev day range) over previous day high</t>
  </si>
  <si>
    <t>VIX at start of such days</t>
  </si>
  <si>
    <t>Open : Above or below or inside
Close: below of prev day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</si>
</sst>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6"/>
      <color rgb="FFF68663"/>
      <name val="Roboto"/>
    </font>
    <font>
      <sz val="6"/>
      <color rgb="FF32D583"/>
      <name val="Roboto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EAD0-C8BA-42AF-A45E-BB957439D2B6}">
  <dimension ref="E7:V51"/>
  <sheetViews>
    <sheetView tabSelected="1" topLeftCell="B33" zoomScale="85" zoomScaleNormal="85" workbookViewId="0">
      <selection activeCell="K45" sqref="K45"/>
    </sheetView>
  </sheetViews>
  <sheetFormatPr defaultRowHeight="14.6" x14ac:dyDescent="0.4"/>
  <cols>
    <col min="6" max="6" width="13.765625" customWidth="1"/>
    <col min="7" max="7" width="35.4609375" customWidth="1"/>
    <col min="8" max="8" width="17.69140625" bestFit="1" customWidth="1"/>
    <col min="9" max="9" width="44.4609375" bestFit="1" customWidth="1"/>
    <col min="10" max="10" width="17.921875" customWidth="1"/>
    <col min="11" max="11" width="17.765625" customWidth="1"/>
    <col min="12" max="12" width="34.765625" customWidth="1"/>
    <col min="13" max="13" width="18.61328125" customWidth="1"/>
    <col min="14" max="14" width="17.4609375" customWidth="1"/>
    <col min="15" max="15" width="24.07421875" customWidth="1"/>
  </cols>
  <sheetData>
    <row r="7" spans="9:22" x14ac:dyDescent="0.4">
      <c r="V7" t="s">
        <v>3</v>
      </c>
    </row>
    <row r="8" spans="9:22" x14ac:dyDescent="0.4">
      <c r="I8" s="3">
        <v>6032</v>
      </c>
      <c r="J8" s="2">
        <v>-6968</v>
      </c>
      <c r="K8" s="2"/>
    </row>
    <row r="11" spans="9:22" x14ac:dyDescent="0.4">
      <c r="I11" t="s">
        <v>0</v>
      </c>
      <c r="J11" s="1">
        <v>0.65</v>
      </c>
      <c r="K11" s="1"/>
      <c r="M11">
        <f>J11*100</f>
        <v>65</v>
      </c>
      <c r="N11">
        <f>100-M11</f>
        <v>35</v>
      </c>
    </row>
    <row r="12" spans="9:22" x14ac:dyDescent="0.4">
      <c r="I12" t="s">
        <v>1</v>
      </c>
      <c r="J12">
        <v>0.32</v>
      </c>
      <c r="M12">
        <f>J12</f>
        <v>0.32</v>
      </c>
      <c r="N12">
        <v>-1</v>
      </c>
    </row>
    <row r="13" spans="9:22" x14ac:dyDescent="0.4">
      <c r="M13">
        <f>M12*M11</f>
        <v>20.8</v>
      </c>
      <c r="N13">
        <f>N12*N11</f>
        <v>-35</v>
      </c>
      <c r="R13">
        <v>2135</v>
      </c>
    </row>
    <row r="14" spans="9:22" x14ac:dyDescent="0.4">
      <c r="R14">
        <v>5</v>
      </c>
    </row>
    <row r="15" spans="9:22" x14ac:dyDescent="0.4">
      <c r="L15" t="s">
        <v>2</v>
      </c>
      <c r="M15">
        <f>N13+M13</f>
        <v>-14.2</v>
      </c>
      <c r="R15">
        <f>R13*R14</f>
        <v>10675</v>
      </c>
    </row>
    <row r="20" spans="5:15" x14ac:dyDescent="0.4">
      <c r="I20" t="s">
        <v>4</v>
      </c>
      <c r="J20" s="4"/>
      <c r="K20" s="4"/>
    </row>
    <row r="21" spans="5:15" x14ac:dyDescent="0.4">
      <c r="I21" t="s">
        <v>5</v>
      </c>
    </row>
    <row r="22" spans="5:15" x14ac:dyDescent="0.4">
      <c r="I22" t="s">
        <v>6</v>
      </c>
    </row>
    <row r="23" spans="5:15" x14ac:dyDescent="0.4">
      <c r="I23" t="s">
        <v>22</v>
      </c>
    </row>
    <row r="26" spans="5:15" x14ac:dyDescent="0.4">
      <c r="O26" t="s">
        <v>26</v>
      </c>
    </row>
    <row r="27" spans="5:15" x14ac:dyDescent="0.4">
      <c r="I27" t="s">
        <v>23</v>
      </c>
      <c r="J27" t="s">
        <v>24</v>
      </c>
      <c r="L27" t="s">
        <v>4</v>
      </c>
      <c r="M27" t="s">
        <v>25</v>
      </c>
    </row>
    <row r="29" spans="5:15" ht="28.3" x14ac:dyDescent="0.4">
      <c r="E29" s="5" t="s">
        <v>7</v>
      </c>
      <c r="F29" s="5" t="s">
        <v>8</v>
      </c>
      <c r="G29" s="5" t="s">
        <v>9</v>
      </c>
    </row>
    <row r="30" spans="5:15" ht="42.45" x14ac:dyDescent="0.4">
      <c r="E30" s="5" t="s">
        <v>10</v>
      </c>
      <c r="F30" s="5" t="s">
        <v>11</v>
      </c>
      <c r="G30" s="6" t="s">
        <v>12</v>
      </c>
    </row>
    <row r="31" spans="5:15" ht="28.3" x14ac:dyDescent="0.4">
      <c r="E31" s="5" t="s">
        <v>13</v>
      </c>
      <c r="F31" s="5" t="s">
        <v>14</v>
      </c>
      <c r="G31" s="6" t="s">
        <v>15</v>
      </c>
    </row>
    <row r="32" spans="5:15" ht="28.3" x14ac:dyDescent="0.4">
      <c r="E32" s="5" t="s">
        <v>16</v>
      </c>
      <c r="F32" s="5" t="s">
        <v>17</v>
      </c>
      <c r="G32" s="6" t="s">
        <v>18</v>
      </c>
    </row>
    <row r="33" spans="5:16" ht="42.45" x14ac:dyDescent="0.4">
      <c r="E33" s="5" t="s">
        <v>19</v>
      </c>
      <c r="F33" s="5" t="s">
        <v>20</v>
      </c>
      <c r="G33" s="6" t="s">
        <v>21</v>
      </c>
    </row>
    <row r="38" spans="5:16" ht="58.3" x14ac:dyDescent="0.4">
      <c r="G38" t="s">
        <v>42</v>
      </c>
      <c r="H38" t="s">
        <v>27</v>
      </c>
      <c r="I38" t="s">
        <v>29</v>
      </c>
      <c r="J38" t="s">
        <v>27</v>
      </c>
      <c r="K38" s="4" t="s">
        <v>49</v>
      </c>
      <c r="L38" t="s">
        <v>31</v>
      </c>
      <c r="M38" t="s">
        <v>27</v>
      </c>
      <c r="N38" t="s">
        <v>38</v>
      </c>
      <c r="O38" t="s">
        <v>53</v>
      </c>
      <c r="P38" t="s">
        <v>56</v>
      </c>
    </row>
    <row r="39" spans="5:16" ht="102" x14ac:dyDescent="0.4">
      <c r="G39" s="4" t="s">
        <v>43</v>
      </c>
      <c r="H39" s="4" t="s">
        <v>44</v>
      </c>
      <c r="I39" t="s">
        <v>33</v>
      </c>
      <c r="J39" t="s">
        <v>28</v>
      </c>
      <c r="K39" t="s">
        <v>32</v>
      </c>
      <c r="L39" s="4" t="s">
        <v>35</v>
      </c>
      <c r="M39" t="s">
        <v>28</v>
      </c>
      <c r="N39" t="s">
        <v>32</v>
      </c>
      <c r="P39" t="s">
        <v>32</v>
      </c>
    </row>
    <row r="40" spans="5:16" ht="29.15" x14ac:dyDescent="0.4">
      <c r="L40" s="4" t="s">
        <v>36</v>
      </c>
      <c r="M40" t="s">
        <v>28</v>
      </c>
      <c r="N40" t="s">
        <v>32</v>
      </c>
      <c r="P40" t="s">
        <v>32</v>
      </c>
    </row>
    <row r="41" spans="5:16" x14ac:dyDescent="0.4">
      <c r="L41" t="s">
        <v>37</v>
      </c>
      <c r="M41" t="s">
        <v>28</v>
      </c>
      <c r="N41" t="s">
        <v>32</v>
      </c>
      <c r="P41" t="s">
        <v>32</v>
      </c>
    </row>
    <row r="42" spans="5:16" ht="43.75" x14ac:dyDescent="0.4">
      <c r="I42" t="s">
        <v>34</v>
      </c>
      <c r="J42" t="s">
        <v>28</v>
      </c>
      <c r="K42" t="s">
        <v>32</v>
      </c>
      <c r="L42" s="4" t="s">
        <v>39</v>
      </c>
      <c r="M42" t="s">
        <v>28</v>
      </c>
      <c r="N42" t="s">
        <v>32</v>
      </c>
      <c r="P42" t="s">
        <v>32</v>
      </c>
    </row>
    <row r="43" spans="5:16" ht="29.15" x14ac:dyDescent="0.4">
      <c r="L43" s="4" t="s">
        <v>40</v>
      </c>
      <c r="M43" t="s">
        <v>28</v>
      </c>
      <c r="N43" t="s">
        <v>32</v>
      </c>
      <c r="P43" t="s">
        <v>32</v>
      </c>
    </row>
    <row r="44" spans="5:16" x14ac:dyDescent="0.4">
      <c r="L44" s="4" t="s">
        <v>37</v>
      </c>
      <c r="M44" t="s">
        <v>28</v>
      </c>
      <c r="N44" t="s">
        <v>32</v>
      </c>
      <c r="P44" t="s">
        <v>32</v>
      </c>
    </row>
    <row r="45" spans="5:16" ht="102" x14ac:dyDescent="0.4">
      <c r="I45" t="s">
        <v>30</v>
      </c>
      <c r="J45" t="s">
        <v>28</v>
      </c>
      <c r="K45" s="4" t="s">
        <v>41</v>
      </c>
      <c r="P45" t="s">
        <v>32</v>
      </c>
    </row>
    <row r="46" spans="5:16" ht="102" x14ac:dyDescent="0.4">
      <c r="G46" s="4" t="s">
        <v>45</v>
      </c>
      <c r="H46" s="4" t="s">
        <v>46</v>
      </c>
      <c r="I46" t="s">
        <v>47</v>
      </c>
      <c r="J46" t="s">
        <v>28</v>
      </c>
      <c r="K46" t="s">
        <v>32</v>
      </c>
      <c r="L46" s="4" t="s">
        <v>52</v>
      </c>
      <c r="M46" t="s">
        <v>28</v>
      </c>
      <c r="N46" t="s">
        <v>32</v>
      </c>
      <c r="O46" s="4" t="s">
        <v>54</v>
      </c>
      <c r="P46" t="s">
        <v>32</v>
      </c>
    </row>
    <row r="47" spans="5:16" ht="43.75" x14ac:dyDescent="0.4">
      <c r="O47" s="4" t="s">
        <v>55</v>
      </c>
      <c r="P47" t="s">
        <v>32</v>
      </c>
    </row>
    <row r="48" spans="5:16" ht="29.15" x14ac:dyDescent="0.4">
      <c r="L48" s="4" t="s">
        <v>50</v>
      </c>
      <c r="M48" t="s">
        <v>28</v>
      </c>
      <c r="N48" t="s">
        <v>32</v>
      </c>
      <c r="P48" t="s">
        <v>32</v>
      </c>
    </row>
    <row r="49" spans="7:16" ht="29.15" x14ac:dyDescent="0.4">
      <c r="L49" s="4" t="s">
        <v>51</v>
      </c>
      <c r="M49" t="s">
        <v>28</v>
      </c>
      <c r="N49" t="s">
        <v>32</v>
      </c>
      <c r="P49" t="s">
        <v>32</v>
      </c>
    </row>
    <row r="50" spans="7:16" ht="29.15" x14ac:dyDescent="0.4">
      <c r="I50" t="s">
        <v>48</v>
      </c>
      <c r="J50" t="s">
        <v>28</v>
      </c>
      <c r="L50" s="4" t="s">
        <v>54</v>
      </c>
      <c r="M50" t="s">
        <v>28</v>
      </c>
      <c r="N50" t="s">
        <v>32</v>
      </c>
      <c r="P50" t="s">
        <v>32</v>
      </c>
    </row>
    <row r="51" spans="7:16" ht="29.15" x14ac:dyDescent="0.4">
      <c r="G51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Singh</dc:creator>
  <cp:lastModifiedBy>Atul Singh</cp:lastModifiedBy>
  <dcterms:created xsi:type="dcterms:W3CDTF">2026-01-28T19:04:58Z</dcterms:created>
  <dcterms:modified xsi:type="dcterms:W3CDTF">2026-01-29T13:15:17Z</dcterms:modified>
</cp:coreProperties>
</file>